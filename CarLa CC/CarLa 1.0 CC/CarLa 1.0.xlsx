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as Elexa\Desktop\tekstar_git\carla\CarLa 1.0\"/>
    </mc:Choice>
  </mc:AlternateContent>
  <xr:revisionPtr revIDLastSave="0" documentId="13_ncr:1_{C59A638A-B38A-4F27-BD9A-AB5D58741713}" xr6:coauthVersionLast="45" xr6:coauthVersionMax="45" xr10:uidLastSave="{00000000-0000-0000-0000-000000000000}"/>
  <bookViews>
    <workbookView xWindow="-120" yWindow="-120" windowWidth="29040" windowHeight="15840" xr2:uid="{9F678F1A-536C-45F1-A317-65B48296253B}"/>
  </bookViews>
  <sheets>
    <sheet name="price" sheetId="1" r:id="rId1"/>
    <sheet name="3Dpar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" i="1" l="1"/>
  <c r="G4" i="1"/>
  <c r="F5" i="1" l="1"/>
  <c r="E2" i="2" l="1"/>
  <c r="F6" i="1" l="1"/>
</calcChain>
</file>

<file path=xl/sharedStrings.xml><?xml version="1.0" encoding="utf-8"?>
<sst xmlns="http://schemas.openxmlformats.org/spreadsheetml/2006/main" count="92" uniqueCount="89">
  <si>
    <t>Item</t>
  </si>
  <si>
    <t>CarLa Price:</t>
  </si>
  <si>
    <t>Součástky</t>
  </si>
  <si>
    <t>Doprava</t>
  </si>
  <si>
    <t>Total</t>
  </si>
  <si>
    <t>CZK</t>
  </si>
  <si>
    <t>ESHOP</t>
  </si>
  <si>
    <t>Pematex</t>
  </si>
  <si>
    <t>Počet</t>
  </si>
  <si>
    <t>Hlazená tyč 8mm 1m</t>
  </si>
  <si>
    <t xml:space="preserve"> </t>
  </si>
  <si>
    <t>Profily:</t>
  </si>
  <si>
    <t>462mm</t>
  </si>
  <si>
    <t>300mm</t>
  </si>
  <si>
    <t>ehlinik</t>
  </si>
  <si>
    <t>CNCshop</t>
  </si>
  <si>
    <t>Kabelové očko</t>
  </si>
  <si>
    <t>Zdroj S350 350W 12V</t>
  </si>
  <si>
    <t>M3x12</t>
  </si>
  <si>
    <t>M3x20</t>
  </si>
  <si>
    <t>M3x30</t>
  </si>
  <si>
    <t>M3x40</t>
  </si>
  <si>
    <t>M4x10</t>
  </si>
  <si>
    <t>M4x20</t>
  </si>
  <si>
    <t>M4x40</t>
  </si>
  <si>
    <t>M5x20</t>
  </si>
  <si>
    <t>M5x30</t>
  </si>
  <si>
    <t>M4x8</t>
  </si>
  <si>
    <t>M3x8</t>
  </si>
  <si>
    <t>M4x12</t>
  </si>
  <si>
    <t>Matice M3</t>
  </si>
  <si>
    <t>Matice M4</t>
  </si>
  <si>
    <t>Matice M5</t>
  </si>
  <si>
    <t>Matice samo. M3</t>
  </si>
  <si>
    <t>Matice samo. M4</t>
  </si>
  <si>
    <t>Matice samo. M5</t>
  </si>
  <si>
    <t>Podložka M3</t>
  </si>
  <si>
    <t>Spojovací materiál:</t>
  </si>
  <si>
    <t>Podložka M4</t>
  </si>
  <si>
    <t>Podložka M5</t>
  </si>
  <si>
    <t>Ostatní:</t>
  </si>
  <si>
    <t>Závitová tyč T8 500mm</t>
  </si>
  <si>
    <t>Závitová tyč T8 400mm</t>
  </si>
  <si>
    <t>Ventilátor 50mm</t>
  </si>
  <si>
    <t>2.54 Kabel 70cm</t>
  </si>
  <si>
    <t>HX2.54 Kabel 3P</t>
  </si>
  <si>
    <t>HX2.54 Kabel 4P</t>
  </si>
  <si>
    <t>Termistor</t>
  </si>
  <si>
    <t>Endstop</t>
  </si>
  <si>
    <t>Ventilátor 40mm</t>
  </si>
  <si>
    <t>Spojka pro stepper</t>
  </si>
  <si>
    <t>LM8UU</t>
  </si>
  <si>
    <t>T8 matice</t>
  </si>
  <si>
    <t>Pos.Robo.</t>
  </si>
  <si>
    <t>Chladič</t>
  </si>
  <si>
    <t>Úhelník 30x30 ASKMT</t>
  </si>
  <si>
    <t>ASKMT</t>
  </si>
  <si>
    <t>Matice Profil M4 ASKMT</t>
  </si>
  <si>
    <t>-</t>
  </si>
  <si>
    <t xml:space="preserve">NEMA 17 </t>
  </si>
  <si>
    <t>Z Probe</t>
  </si>
  <si>
    <t>DC Motor</t>
  </si>
  <si>
    <t>Celkem:</t>
  </si>
  <si>
    <t>Y-axis T8 holder</t>
  </si>
  <si>
    <t>Y-axis rod holder</t>
  </si>
  <si>
    <t>Y-axis NEMA17 holder</t>
  </si>
  <si>
    <t>Spoj. Material</t>
  </si>
  <si>
    <t>Briol</t>
  </si>
  <si>
    <t>T-nut</t>
  </si>
  <si>
    <t>50mm</t>
  </si>
  <si>
    <t>CelkemCZK</t>
  </si>
  <si>
    <t xml:space="preserve"> 90° Spojka 2 typy</t>
  </si>
  <si>
    <t>Z-axis stepper holder RL</t>
  </si>
  <si>
    <t>Z-axis T8+rod holder RL</t>
  </si>
  <si>
    <t>Z-axis rod end RL</t>
  </si>
  <si>
    <t>Tool Center</t>
  </si>
  <si>
    <t>Duet 2 WiFi + LCD</t>
  </si>
  <si>
    <t>Laser NEJE 20W</t>
  </si>
  <si>
    <t>PSU switch</t>
  </si>
  <si>
    <t>Filament 1 cívka</t>
  </si>
  <si>
    <t>Tool Laser Holder</t>
  </si>
  <si>
    <t>Tool Backplate 1</t>
  </si>
  <si>
    <t>Tool Backplate 2</t>
  </si>
  <si>
    <t>Mobox Base + Top + Fan</t>
  </si>
  <si>
    <t>LCD Frame + 2 Supports</t>
  </si>
  <si>
    <t>PSU Holder</t>
  </si>
  <si>
    <t>PSU Cover</t>
  </si>
  <si>
    <t>Z+X-axis endstop holder</t>
  </si>
  <si>
    <t xml:space="preserve"> CarLa 1.0 -&gt; 2.0CC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</si>
</sst>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</borders>
  <cellStyleXfs count="14">
    <xf numFmtId="0" fontId="0" fillId="0" borderId="0"/>
    <xf numFmtId="0" fontId="2" fillId="0" borderId="0" applyNumberFormat="0" applyFill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3" fillId="2" borderId="0" applyFont="0"/>
    <xf numFmtId="0" fontId="1" fillId="7" borderId="0" applyBorder="0" applyAlignment="0"/>
    <xf numFmtId="0" fontId="1" fillId="6" borderId="2" applyAlignment="0"/>
    <xf numFmtId="0" fontId="1" fillId="7" borderId="0" applyBorder="0"/>
  </cellStyleXfs>
  <cellXfs count="32">
    <xf numFmtId="0" fontId="0" fillId="0" borderId="0" xfId="0"/>
    <xf numFmtId="0" fontId="5" fillId="4" borderId="0" xfId="3"/>
    <xf numFmtId="0" fontId="7" fillId="0" borderId="0" xfId="0" applyFont="1"/>
    <xf numFmtId="0" fontId="0" fillId="0" borderId="0" xfId="0" applyAlignment="1"/>
    <xf numFmtId="0" fontId="0" fillId="2" borderId="0" xfId="10" applyFont="1"/>
    <xf numFmtId="0" fontId="4" fillId="3" borderId="0" xfId="2"/>
    <xf numFmtId="0" fontId="1" fillId="10" borderId="0" xfId="9"/>
    <xf numFmtId="0" fontId="1" fillId="9" borderId="0" xfId="8"/>
    <xf numFmtId="0" fontId="1" fillId="8" borderId="0" xfId="7"/>
    <xf numFmtId="0" fontId="0" fillId="8" borderId="0" xfId="7" applyFont="1"/>
    <xf numFmtId="0" fontId="0" fillId="10" borderId="0" xfId="9" applyFont="1"/>
    <xf numFmtId="0" fontId="6" fillId="5" borderId="0" xfId="4" applyBorder="1"/>
    <xf numFmtId="0" fontId="0" fillId="0" borderId="0" xfId="0"/>
    <xf numFmtId="0" fontId="5" fillId="4" borderId="0" xfId="3" applyAlignment="1">
      <alignment horizontal="right"/>
    </xf>
    <xf numFmtId="0" fontId="2" fillId="4" borderId="0" xfId="1" applyFill="1"/>
    <xf numFmtId="1" fontId="5" fillId="4" borderId="0" xfId="3" applyNumberFormat="1"/>
    <xf numFmtId="0" fontId="4" fillId="3" borderId="0" xfId="2" applyBorder="1"/>
    <xf numFmtId="0" fontId="1" fillId="6" borderId="2" xfId="5" applyBorder="1"/>
    <xf numFmtId="0" fontId="0" fillId="7" borderId="2" xfId="6" applyFont="1" applyBorder="1"/>
    <xf numFmtId="0" fontId="4" fillId="3" borderId="2" xfId="2" applyBorder="1"/>
    <xf numFmtId="0" fontId="1" fillId="7" borderId="2" xfId="6" applyBorder="1"/>
    <xf numFmtId="0" fontId="1" fillId="6" borderId="1" xfId="5" applyBorder="1" applyAlignment="1">
      <alignment horizontal="center"/>
    </xf>
    <xf numFmtId="0" fontId="1" fillId="7" borderId="1" xfId="6" applyBorder="1" applyAlignment="1">
      <alignment horizontal="center"/>
    </xf>
    <xf numFmtId="0" fontId="1" fillId="6" borderId="2" xfId="12"/>
    <xf numFmtId="0" fontId="1" fillId="7" borderId="2" xfId="11" applyBorder="1"/>
    <xf numFmtId="0" fontId="1" fillId="7" borderId="0" xfId="11"/>
    <xf numFmtId="0" fontId="1" fillId="6" borderId="2" xfId="12" applyAlignment="1">
      <alignment horizontal="center"/>
    </xf>
    <xf numFmtId="0" fontId="1" fillId="7" borderId="2" xfId="11" applyBorder="1" applyAlignment="1">
      <alignment horizontal="center"/>
    </xf>
    <xf numFmtId="0" fontId="1" fillId="7" borderId="0" xfId="11" applyBorder="1"/>
    <xf numFmtId="0" fontId="1" fillId="7" borderId="3" xfId="11" applyBorder="1"/>
    <xf numFmtId="0" fontId="1" fillId="7" borderId="2" xfId="13" applyBorder="1"/>
    <xf numFmtId="0" fontId="1" fillId="7" borderId="1" xfId="11" applyBorder="1" applyAlignment="1">
      <alignment horizontal="center"/>
    </xf>
  </cellXfs>
  <cellStyles count="14">
    <cellStyle name="20 % – Zvýraznění 2" xfId="7" builtinId="34"/>
    <cellStyle name="40 % – Zvýraznění 1" xfId="5" builtinId="31"/>
    <cellStyle name="40 % – Zvýraznění 2" xfId="8" builtinId="35"/>
    <cellStyle name="60 % – Zvýraznění 1" xfId="6" builtinId="32"/>
    <cellStyle name="60 % – Zvýraznění 2" xfId="9" builtinId="36"/>
    <cellStyle name="A" xfId="13" xr:uid="{E4FC2D2F-758D-4BAE-9A17-E22A210D1F8D}"/>
    <cellStyle name="aT1" xfId="11" xr:uid="{CAF85CFD-9970-483D-A934-79C5C23DFDB5}"/>
    <cellStyle name="aT2" xfId="12" xr:uid="{6E0FA3F8-7126-4311-A8D8-B30487701A75}"/>
    <cellStyle name="Název" xfId="1" builtinId="15"/>
    <cellStyle name="Neutrální" xfId="3" builtinId="28"/>
    <cellStyle name="Normální" xfId="0" builtinId="0"/>
    <cellStyle name="Špatně" xfId="2" builtinId="27"/>
    <cellStyle name="Styl 1" xfId="10" xr:uid="{F36AF361-C4F6-43E1-9641-7148C68B1C81}"/>
    <cellStyle name="Zvýraznění 1" xfId="4" builtin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0A02A-170C-45D2-8F82-13451710C402}">
  <dimension ref="A1:L59"/>
  <sheetViews>
    <sheetView tabSelected="1" zoomScale="145" zoomScaleNormal="145" workbookViewId="0">
      <selection activeCell="A2" sqref="A2"/>
    </sheetView>
  </sheetViews>
  <sheetFormatPr defaultRowHeight="15" x14ac:dyDescent="0.25"/>
  <cols>
    <col min="1" max="1" width="22" customWidth="1"/>
    <col min="2" max="2" width="6.85546875" customWidth="1"/>
    <col min="3" max="3" width="9.85546875" customWidth="1"/>
    <col min="6" max="6" width="13.140625" customWidth="1"/>
  </cols>
  <sheetData>
    <row r="1" spans="1:12" ht="18.75" x14ac:dyDescent="0.3">
      <c r="A1" s="2" t="s">
        <v>88</v>
      </c>
    </row>
    <row r="2" spans="1:12" x14ac:dyDescent="0.25">
      <c r="A2" s="3"/>
    </row>
    <row r="3" spans="1:12" x14ac:dyDescent="0.25">
      <c r="A3" s="11" t="s">
        <v>0</v>
      </c>
      <c r="B3" s="11" t="s">
        <v>8</v>
      </c>
      <c r="C3" s="11" t="s">
        <v>70</v>
      </c>
      <c r="E3" s="4"/>
      <c r="F3" s="4" t="s">
        <v>1</v>
      </c>
      <c r="G3" s="4" t="s">
        <v>8</v>
      </c>
      <c r="I3" s="10" t="s">
        <v>3</v>
      </c>
      <c r="J3" s="6" t="s">
        <v>5</v>
      </c>
      <c r="K3" s="6" t="s">
        <v>6</v>
      </c>
    </row>
    <row r="4" spans="1:12" x14ac:dyDescent="0.25">
      <c r="A4" s="17" t="s">
        <v>9</v>
      </c>
      <c r="B4" s="21">
        <v>4</v>
      </c>
      <c r="C4" s="23">
        <v>255</v>
      </c>
      <c r="E4" s="4" t="s">
        <v>2</v>
      </c>
      <c r="F4" s="13">
        <f>SUM(C4:C102)</f>
        <v>11973</v>
      </c>
      <c r="G4" s="15">
        <f>SUM(B4:B102)</f>
        <v>3096</v>
      </c>
      <c r="J4" s="7">
        <v>99</v>
      </c>
      <c r="K4" s="9" t="s">
        <v>7</v>
      </c>
    </row>
    <row r="5" spans="1:12" x14ac:dyDescent="0.25">
      <c r="A5" s="18" t="s">
        <v>10</v>
      </c>
      <c r="B5" s="22"/>
      <c r="C5" s="20"/>
      <c r="E5" s="4" t="s">
        <v>3</v>
      </c>
      <c r="F5" s="1">
        <f>SUM(J4:J9)</f>
        <v>994</v>
      </c>
      <c r="G5" s="1">
        <v>6</v>
      </c>
      <c r="J5" s="7">
        <v>152</v>
      </c>
      <c r="K5" s="8" t="s">
        <v>14</v>
      </c>
    </row>
    <row r="6" spans="1:12" ht="23.25" x14ac:dyDescent="0.35">
      <c r="A6" s="19" t="s">
        <v>11</v>
      </c>
      <c r="B6" s="16"/>
      <c r="C6" s="16"/>
      <c r="E6" s="4" t="s">
        <v>4</v>
      </c>
      <c r="F6" s="14">
        <f>SUM(F4:F5)</f>
        <v>12967</v>
      </c>
      <c r="G6" s="1" t="s">
        <v>5</v>
      </c>
      <c r="J6" s="7">
        <v>150</v>
      </c>
      <c r="K6" s="8" t="s">
        <v>15</v>
      </c>
    </row>
    <row r="7" spans="1:12" x14ac:dyDescent="0.25">
      <c r="A7" s="24" t="s">
        <v>12</v>
      </c>
      <c r="B7" s="27">
        <v>2</v>
      </c>
      <c r="C7" s="24">
        <v>135</v>
      </c>
      <c r="J7" s="7">
        <v>240</v>
      </c>
      <c r="K7" s="8" t="s">
        <v>53</v>
      </c>
    </row>
    <row r="8" spans="1:12" x14ac:dyDescent="0.25">
      <c r="A8" s="23" t="s">
        <v>69</v>
      </c>
      <c r="B8" s="26">
        <v>2</v>
      </c>
      <c r="C8" s="23">
        <v>146</v>
      </c>
      <c r="J8" s="7">
        <v>188</v>
      </c>
      <c r="K8" s="8" t="s">
        <v>56</v>
      </c>
    </row>
    <row r="9" spans="1:12" x14ac:dyDescent="0.25">
      <c r="A9" s="24" t="s">
        <v>13</v>
      </c>
      <c r="B9" s="27">
        <v>6</v>
      </c>
      <c r="C9" s="24">
        <v>262</v>
      </c>
      <c r="J9" s="7">
        <v>165</v>
      </c>
      <c r="K9" s="8" t="s">
        <v>67</v>
      </c>
      <c r="L9" s="12"/>
    </row>
    <row r="10" spans="1:12" x14ac:dyDescent="0.25">
      <c r="A10" s="16" t="s">
        <v>37</v>
      </c>
      <c r="B10" s="16"/>
      <c r="C10" s="16"/>
      <c r="K10" s="12"/>
      <c r="L10" s="12"/>
    </row>
    <row r="11" spans="1:12" x14ac:dyDescent="0.25">
      <c r="A11" s="24" t="s">
        <v>18</v>
      </c>
      <c r="B11" s="27">
        <v>40</v>
      </c>
      <c r="C11" s="24">
        <v>20</v>
      </c>
      <c r="K11" s="12"/>
      <c r="L11" s="12"/>
    </row>
    <row r="12" spans="1:12" x14ac:dyDescent="0.25">
      <c r="A12" s="23" t="s">
        <v>19</v>
      </c>
      <c r="B12" s="26">
        <v>20</v>
      </c>
      <c r="C12" s="23">
        <v>14</v>
      </c>
      <c r="K12" s="12"/>
      <c r="L12" s="12"/>
    </row>
    <row r="13" spans="1:12" x14ac:dyDescent="0.25">
      <c r="A13" s="24" t="s">
        <v>20</v>
      </c>
      <c r="B13" s="27">
        <v>20</v>
      </c>
      <c r="C13" s="24">
        <v>14</v>
      </c>
      <c r="K13" s="12"/>
      <c r="L13" s="12"/>
    </row>
    <row r="14" spans="1:12" x14ac:dyDescent="0.25">
      <c r="A14" s="23" t="s">
        <v>21</v>
      </c>
      <c r="B14" s="26">
        <v>10</v>
      </c>
      <c r="C14" s="23">
        <v>8</v>
      </c>
      <c r="K14" s="12"/>
      <c r="L14" s="12"/>
    </row>
    <row r="15" spans="1:12" x14ac:dyDescent="0.25">
      <c r="A15" s="24" t="s">
        <v>22</v>
      </c>
      <c r="B15" s="27">
        <v>20</v>
      </c>
      <c r="C15" s="24">
        <v>12</v>
      </c>
      <c r="K15" s="12"/>
      <c r="L15" s="12"/>
    </row>
    <row r="16" spans="1:12" x14ac:dyDescent="0.25">
      <c r="A16" s="23" t="s">
        <v>23</v>
      </c>
      <c r="B16" s="26">
        <v>10</v>
      </c>
      <c r="C16" s="23">
        <v>10</v>
      </c>
    </row>
    <row r="17" spans="1:3" x14ac:dyDescent="0.25">
      <c r="A17" s="24" t="s">
        <v>24</v>
      </c>
      <c r="B17" s="27">
        <v>10</v>
      </c>
      <c r="C17" s="24">
        <v>10</v>
      </c>
    </row>
    <row r="18" spans="1:3" x14ac:dyDescent="0.25">
      <c r="A18" s="23" t="s">
        <v>25</v>
      </c>
      <c r="B18" s="26">
        <v>20</v>
      </c>
      <c r="C18" s="23">
        <v>14</v>
      </c>
    </row>
    <row r="19" spans="1:3" x14ac:dyDescent="0.25">
      <c r="A19" s="24" t="s">
        <v>26</v>
      </c>
      <c r="B19" s="27">
        <v>20</v>
      </c>
      <c r="C19" s="24">
        <v>20</v>
      </c>
    </row>
    <row r="20" spans="1:3" x14ac:dyDescent="0.25">
      <c r="A20" s="23" t="s">
        <v>27</v>
      </c>
      <c r="B20" s="26">
        <v>20</v>
      </c>
      <c r="C20" s="23">
        <v>12</v>
      </c>
    </row>
    <row r="21" spans="1:3" x14ac:dyDescent="0.25">
      <c r="A21" s="24" t="s">
        <v>28</v>
      </c>
      <c r="B21" s="27">
        <v>10</v>
      </c>
      <c r="C21" s="24">
        <v>4</v>
      </c>
    </row>
    <row r="22" spans="1:3" x14ac:dyDescent="0.25">
      <c r="A22" s="23" t="s">
        <v>29</v>
      </c>
      <c r="B22" s="26">
        <v>10</v>
      </c>
      <c r="C22" s="23">
        <v>7</v>
      </c>
    </row>
    <row r="23" spans="1:3" x14ac:dyDescent="0.25">
      <c r="A23" s="24" t="s">
        <v>30</v>
      </c>
      <c r="B23" s="27">
        <v>100</v>
      </c>
      <c r="C23" s="24">
        <v>10</v>
      </c>
    </row>
    <row r="24" spans="1:3" x14ac:dyDescent="0.25">
      <c r="A24" s="23" t="s">
        <v>31</v>
      </c>
      <c r="B24" s="26">
        <v>100</v>
      </c>
      <c r="C24" s="23">
        <v>10</v>
      </c>
    </row>
    <row r="25" spans="1:3" x14ac:dyDescent="0.25">
      <c r="A25" s="24" t="s">
        <v>32</v>
      </c>
      <c r="B25" s="27">
        <v>100</v>
      </c>
      <c r="C25" s="24">
        <v>10</v>
      </c>
    </row>
    <row r="26" spans="1:3" x14ac:dyDescent="0.25">
      <c r="A26" s="23" t="s">
        <v>33</v>
      </c>
      <c r="B26" s="26">
        <v>50</v>
      </c>
      <c r="C26" s="23">
        <v>12</v>
      </c>
    </row>
    <row r="27" spans="1:3" x14ac:dyDescent="0.25">
      <c r="A27" s="24" t="s">
        <v>34</v>
      </c>
      <c r="B27" s="27">
        <v>50</v>
      </c>
      <c r="C27" s="24">
        <v>12</v>
      </c>
    </row>
    <row r="28" spans="1:3" x14ac:dyDescent="0.25">
      <c r="A28" s="23" t="s">
        <v>35</v>
      </c>
      <c r="B28" s="26">
        <v>50</v>
      </c>
      <c r="C28" s="23">
        <v>12</v>
      </c>
    </row>
    <row r="29" spans="1:3" x14ac:dyDescent="0.25">
      <c r="A29" s="24" t="s">
        <v>36</v>
      </c>
      <c r="B29" s="27">
        <v>100</v>
      </c>
      <c r="C29" s="24">
        <v>8</v>
      </c>
    </row>
    <row r="30" spans="1:3" x14ac:dyDescent="0.25">
      <c r="A30" s="23" t="s">
        <v>38</v>
      </c>
      <c r="B30" s="26">
        <v>100</v>
      </c>
      <c r="C30" s="23">
        <v>8</v>
      </c>
    </row>
    <row r="31" spans="1:3" x14ac:dyDescent="0.25">
      <c r="A31" s="24" t="s">
        <v>39</v>
      </c>
      <c r="B31" s="27">
        <v>100</v>
      </c>
      <c r="C31" s="24">
        <v>10</v>
      </c>
    </row>
    <row r="32" spans="1:3" x14ac:dyDescent="0.25">
      <c r="A32" s="16" t="s">
        <v>40</v>
      </c>
      <c r="B32" s="5"/>
      <c r="C32" s="16"/>
    </row>
    <row r="33" spans="1:8" x14ac:dyDescent="0.25">
      <c r="A33" s="24" t="s">
        <v>16</v>
      </c>
      <c r="B33" s="27">
        <v>10</v>
      </c>
      <c r="C33" s="24">
        <v>24</v>
      </c>
    </row>
    <row r="34" spans="1:8" x14ac:dyDescent="0.25">
      <c r="A34" s="23" t="s">
        <v>17</v>
      </c>
      <c r="B34" s="26">
        <v>1</v>
      </c>
      <c r="C34" s="23">
        <v>1050</v>
      </c>
    </row>
    <row r="35" spans="1:8" x14ac:dyDescent="0.25">
      <c r="A35" s="25" t="s">
        <v>41</v>
      </c>
      <c r="B35" s="27">
        <v>2</v>
      </c>
      <c r="C35" s="24">
        <v>458</v>
      </c>
    </row>
    <row r="36" spans="1:8" x14ac:dyDescent="0.25">
      <c r="A36" s="23" t="s">
        <v>42</v>
      </c>
      <c r="B36" s="26">
        <v>2</v>
      </c>
      <c r="C36" s="23">
        <v>338</v>
      </c>
    </row>
    <row r="37" spans="1:8" x14ac:dyDescent="0.25">
      <c r="A37" s="25" t="s">
        <v>43</v>
      </c>
      <c r="B37" s="27">
        <v>1</v>
      </c>
      <c r="C37" s="24">
        <v>79</v>
      </c>
    </row>
    <row r="38" spans="1:8" x14ac:dyDescent="0.25">
      <c r="A38" s="23" t="s">
        <v>44</v>
      </c>
      <c r="B38" s="26">
        <v>1</v>
      </c>
      <c r="C38" s="23">
        <v>19</v>
      </c>
    </row>
    <row r="39" spans="1:8" x14ac:dyDescent="0.25">
      <c r="A39" s="25" t="s">
        <v>78</v>
      </c>
      <c r="B39" s="27">
        <v>1</v>
      </c>
      <c r="C39" s="24">
        <v>50</v>
      </c>
      <c r="H39" s="12"/>
    </row>
    <row r="40" spans="1:8" x14ac:dyDescent="0.25">
      <c r="A40" s="23" t="s">
        <v>79</v>
      </c>
      <c r="B40" s="26">
        <v>1</v>
      </c>
      <c r="C40" s="23">
        <v>700</v>
      </c>
    </row>
    <row r="41" spans="1:8" x14ac:dyDescent="0.25">
      <c r="A41" s="25" t="s">
        <v>45</v>
      </c>
      <c r="B41" s="27">
        <v>3</v>
      </c>
      <c r="C41" s="24">
        <v>18</v>
      </c>
    </row>
    <row r="42" spans="1:8" x14ac:dyDescent="0.25">
      <c r="A42" s="23" t="s">
        <v>46</v>
      </c>
      <c r="B42" s="26">
        <v>1</v>
      </c>
      <c r="C42" s="23">
        <v>8</v>
      </c>
    </row>
    <row r="43" spans="1:8" x14ac:dyDescent="0.25">
      <c r="A43" s="25" t="s">
        <v>47</v>
      </c>
      <c r="B43" s="27">
        <v>2</v>
      </c>
      <c r="C43" s="24">
        <v>78</v>
      </c>
    </row>
    <row r="44" spans="1:8" x14ac:dyDescent="0.25">
      <c r="A44" s="23" t="s">
        <v>48</v>
      </c>
      <c r="B44" s="26">
        <v>2</v>
      </c>
      <c r="C44" s="23">
        <v>58</v>
      </c>
    </row>
    <row r="45" spans="1:8" x14ac:dyDescent="0.25">
      <c r="A45" s="25" t="s">
        <v>49</v>
      </c>
      <c r="B45" s="27">
        <v>1</v>
      </c>
      <c r="C45" s="24">
        <v>29</v>
      </c>
    </row>
    <row r="46" spans="1:8" x14ac:dyDescent="0.25">
      <c r="A46" s="23" t="s">
        <v>50</v>
      </c>
      <c r="B46" s="26">
        <v>4</v>
      </c>
      <c r="C46" s="23">
        <v>156</v>
      </c>
    </row>
    <row r="47" spans="1:8" x14ac:dyDescent="0.25">
      <c r="A47" s="25" t="s">
        <v>51</v>
      </c>
      <c r="B47" s="27">
        <v>12</v>
      </c>
      <c r="C47" s="24">
        <v>325</v>
      </c>
    </row>
    <row r="48" spans="1:8" x14ac:dyDescent="0.25">
      <c r="A48" s="23" t="s">
        <v>52</v>
      </c>
      <c r="B48" s="26">
        <v>4</v>
      </c>
      <c r="C48" s="23">
        <v>116</v>
      </c>
    </row>
    <row r="49" spans="1:3" x14ac:dyDescent="0.25">
      <c r="A49" s="25" t="s">
        <v>54</v>
      </c>
      <c r="B49" s="27">
        <v>3</v>
      </c>
      <c r="C49" s="24">
        <v>27</v>
      </c>
    </row>
    <row r="50" spans="1:3" x14ac:dyDescent="0.25">
      <c r="A50" s="23"/>
      <c r="B50" s="26"/>
      <c r="C50" s="23"/>
    </row>
    <row r="51" spans="1:3" x14ac:dyDescent="0.25">
      <c r="A51" s="25"/>
      <c r="B51" s="27"/>
      <c r="C51" s="24"/>
    </row>
    <row r="52" spans="1:3" x14ac:dyDescent="0.25">
      <c r="A52" s="23" t="s">
        <v>55</v>
      </c>
      <c r="B52" s="26">
        <v>12</v>
      </c>
      <c r="C52" s="23">
        <v>984</v>
      </c>
    </row>
    <row r="53" spans="1:3" x14ac:dyDescent="0.25">
      <c r="A53" s="25" t="s">
        <v>57</v>
      </c>
      <c r="B53" s="27">
        <v>5</v>
      </c>
      <c r="C53" s="24" t="s">
        <v>58</v>
      </c>
    </row>
    <row r="54" spans="1:3" x14ac:dyDescent="0.25">
      <c r="A54" s="23" t="s">
        <v>59</v>
      </c>
      <c r="B54" s="26">
        <v>1</v>
      </c>
      <c r="C54" s="23">
        <v>933</v>
      </c>
    </row>
    <row r="55" spans="1:3" x14ac:dyDescent="0.25">
      <c r="A55" s="25" t="s">
        <v>76</v>
      </c>
      <c r="B55" s="27">
        <v>1</v>
      </c>
      <c r="C55" s="24">
        <v>2116</v>
      </c>
    </row>
    <row r="56" spans="1:3" x14ac:dyDescent="0.25">
      <c r="A56" s="23" t="s">
        <v>60</v>
      </c>
      <c r="B56" s="26">
        <v>1</v>
      </c>
      <c r="C56" s="23">
        <v>108</v>
      </c>
    </row>
    <row r="57" spans="1:3" x14ac:dyDescent="0.25">
      <c r="A57" s="29" t="s">
        <v>77</v>
      </c>
      <c r="B57" s="31">
        <v>1</v>
      </c>
      <c r="C57" s="28">
        <v>2658</v>
      </c>
    </row>
    <row r="58" spans="1:3" x14ac:dyDescent="0.25">
      <c r="A58" s="23" t="s">
        <v>61</v>
      </c>
      <c r="B58" s="23"/>
      <c r="C58" s="23"/>
    </row>
    <row r="59" spans="1:3" x14ac:dyDescent="0.25">
      <c r="A59" s="30" t="s">
        <v>66</v>
      </c>
      <c r="B59" s="30">
        <v>2050</v>
      </c>
      <c r="C59" s="30">
        <v>606</v>
      </c>
    </row>
  </sheetData>
  <phoneticPr fontId="8" type="noConversion"/>
  <pageMargins left="0.7" right="0.7" top="0.78740157499999996" bottom="0.78740157499999996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6B02-5A38-4C7C-840C-A8BE6C5C75FD}">
  <dimension ref="A1:E23"/>
  <sheetViews>
    <sheetView zoomScale="130" zoomScaleNormal="130" workbookViewId="0">
      <selection activeCell="G9" sqref="G9"/>
    </sheetView>
  </sheetViews>
  <sheetFormatPr defaultRowHeight="15" x14ac:dyDescent="0.25"/>
  <cols>
    <col min="1" max="1" width="22.42578125" customWidth="1"/>
  </cols>
  <sheetData>
    <row r="1" spans="1:5" x14ac:dyDescent="0.25">
      <c r="E1" s="4" t="s">
        <v>62</v>
      </c>
    </row>
    <row r="2" spans="1:5" ht="23.25" x14ac:dyDescent="0.35">
      <c r="E2" s="14">
        <f>SUM(B3:B23)</f>
        <v>100</v>
      </c>
    </row>
    <row r="3" spans="1:5" x14ac:dyDescent="0.25">
      <c r="A3" s="7" t="s">
        <v>71</v>
      </c>
      <c r="B3" s="6">
        <v>10</v>
      </c>
    </row>
    <row r="4" spans="1:5" x14ac:dyDescent="0.25">
      <c r="A4" s="7" t="s">
        <v>68</v>
      </c>
      <c r="B4" s="6">
        <v>62</v>
      </c>
    </row>
    <row r="5" spans="1:5" x14ac:dyDescent="0.25">
      <c r="A5" s="7" t="s">
        <v>63</v>
      </c>
      <c r="B5" s="6">
        <v>1</v>
      </c>
    </row>
    <row r="6" spans="1:5" x14ac:dyDescent="0.25">
      <c r="A6" s="7" t="s">
        <v>64</v>
      </c>
      <c r="B6" s="6">
        <v>4</v>
      </c>
    </row>
    <row r="7" spans="1:5" x14ac:dyDescent="0.25">
      <c r="A7" s="7" t="s">
        <v>65</v>
      </c>
      <c r="B7" s="6">
        <v>1</v>
      </c>
    </row>
    <row r="8" spans="1:5" x14ac:dyDescent="0.25">
      <c r="A8" s="7" t="s">
        <v>72</v>
      </c>
      <c r="B8" s="6">
        <v>2</v>
      </c>
    </row>
    <row r="9" spans="1:5" x14ac:dyDescent="0.25">
      <c r="A9" s="7" t="s">
        <v>73</v>
      </c>
      <c r="B9" s="6">
        <v>2</v>
      </c>
    </row>
    <row r="10" spans="1:5" x14ac:dyDescent="0.25">
      <c r="A10" s="7" t="s">
        <v>74</v>
      </c>
      <c r="B10" s="6">
        <v>2</v>
      </c>
    </row>
    <row r="11" spans="1:5" x14ac:dyDescent="0.25">
      <c r="A11" s="7" t="s">
        <v>75</v>
      </c>
      <c r="B11" s="6">
        <v>1</v>
      </c>
    </row>
    <row r="12" spans="1:5" x14ac:dyDescent="0.25">
      <c r="A12" s="7" t="s">
        <v>87</v>
      </c>
      <c r="B12" s="6">
        <v>3</v>
      </c>
    </row>
    <row r="13" spans="1:5" x14ac:dyDescent="0.25">
      <c r="A13" s="7" t="s">
        <v>81</v>
      </c>
      <c r="B13" s="6">
        <v>1</v>
      </c>
    </row>
    <row r="14" spans="1:5" x14ac:dyDescent="0.25">
      <c r="A14" s="7" t="s">
        <v>82</v>
      </c>
      <c r="B14" s="6">
        <v>1</v>
      </c>
    </row>
    <row r="15" spans="1:5" x14ac:dyDescent="0.25">
      <c r="A15" s="7" t="s">
        <v>80</v>
      </c>
      <c r="B15" s="6">
        <v>1</v>
      </c>
    </row>
    <row r="16" spans="1:5" x14ac:dyDescent="0.25">
      <c r="A16" s="7" t="s">
        <v>83</v>
      </c>
      <c r="B16" s="6">
        <v>3</v>
      </c>
    </row>
    <row r="17" spans="1:2" x14ac:dyDescent="0.25">
      <c r="A17" s="7" t="s">
        <v>84</v>
      </c>
      <c r="B17" s="6">
        <v>3</v>
      </c>
    </row>
    <row r="18" spans="1:2" x14ac:dyDescent="0.25">
      <c r="A18" s="7" t="s">
        <v>85</v>
      </c>
      <c r="B18" s="6">
        <v>2</v>
      </c>
    </row>
    <row r="19" spans="1:2" x14ac:dyDescent="0.25">
      <c r="A19" s="7" t="s">
        <v>86</v>
      </c>
      <c r="B19" s="6">
        <v>1</v>
      </c>
    </row>
    <row r="20" spans="1:2" x14ac:dyDescent="0.25">
      <c r="A20" s="7"/>
      <c r="B20" s="6"/>
    </row>
    <row r="21" spans="1:2" x14ac:dyDescent="0.25">
      <c r="A21" s="7"/>
      <c r="B21" s="6"/>
    </row>
    <row r="22" spans="1:2" x14ac:dyDescent="0.25">
      <c r="A22" s="7"/>
      <c r="B22" s="6"/>
    </row>
    <row r="23" spans="1:2" x14ac:dyDescent="0.25">
      <c r="A23" s="7"/>
      <c r="B23" s="6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E9168B3AECA554DB6DCF30BD3DAF5AE" ma:contentTypeVersion="12" ma:contentTypeDescription="Vytvoří nový dokument" ma:contentTypeScope="" ma:versionID="453684ffe0fef81f7a3b785fac01689c">
  <xsd:schema xmlns:xsd="http://www.w3.org/2001/XMLSchema" xmlns:xs="http://www.w3.org/2001/XMLSchema" xmlns:p="http://schemas.microsoft.com/office/2006/metadata/properties" xmlns:ns3="f391ba15-8a98-4e53-bc6d-a43f7f8b109e" xmlns:ns4="23565733-4205-465a-9104-bfddbd8b7c54" targetNamespace="http://schemas.microsoft.com/office/2006/metadata/properties" ma:root="true" ma:fieldsID="84a02abc2e0730b4bf81d076ecfeb6af" ns3:_="" ns4:_="">
    <xsd:import namespace="f391ba15-8a98-4e53-bc6d-a43f7f8b109e"/>
    <xsd:import namespace="23565733-4205-465a-9104-bfddbd8b7c5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91ba15-8a98-4e53-bc6d-a43f7f8b10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565733-4205-465a-9104-bfddbd8b7c5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95D4A9-AD0B-47ED-B349-CFB5A5AAF4C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88BCEF8-95BB-472E-9E32-06B190CD5A0E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72CF3C98-0EBC-4592-A846-FC8D725523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91ba15-8a98-4e53-bc6d-a43f7f8b109e"/>
    <ds:schemaRef ds:uri="23565733-4205-465a-9104-bfddbd8b7c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B30F2BC-23D4-4E5E-9600-2881F08AC7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price</vt:lpstr>
      <vt:lpstr>3Dparts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Elexa</dc:creator>
  <cp:lastModifiedBy>Tomas Elexa</cp:lastModifiedBy>
  <dcterms:created xsi:type="dcterms:W3CDTF">2020-06-19T11:12:41Z</dcterms:created>
  <dcterms:modified xsi:type="dcterms:W3CDTF">2020-09-22T17:29:16Z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0x010100EE9168B3AECA554DB6DCF30BD3DAF5AE</vt:lpwstr>
  </property>
</Properties>
</file>